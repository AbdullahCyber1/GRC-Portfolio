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858\Downloads\"/>
    </mc:Choice>
  </mc:AlternateContent>
  <xr:revisionPtr revIDLastSave="0" documentId="8_{2B4D7EFE-44AE-4FB3-9E30-EB054DC1A5B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sk Register" sheetId="1" r:id="rId1"/>
    <sheet name="Risk Scal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G21" i="1" s="1"/>
  <c r="G20" i="1"/>
  <c r="F20" i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G10" i="1"/>
  <c r="F10" i="1"/>
  <c r="F9" i="1"/>
  <c r="G9" i="1" s="1"/>
  <c r="F8" i="1"/>
  <c r="G8" i="1" s="1"/>
  <c r="F7" i="1"/>
  <c r="G7" i="1" s="1"/>
  <c r="F6" i="1"/>
  <c r="G6" i="1" s="1"/>
  <c r="G5" i="1"/>
  <c r="F5" i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<sst xmlns="http://schemas.openxmlformats.org/spreadsheetml/2006/main" count="106" uniqueCount="102">
  <si>
    <t>Asset ID</t>
  </si>
  <si>
    <t>Asset Name</t>
  </si>
  <si>
    <t>Threat Scenario</t>
  </si>
  <si>
    <t>Likelihood (1-5)</t>
  </si>
  <si>
    <t>Impact (1-5)</t>
  </si>
  <si>
    <t>Risk Score</t>
  </si>
  <si>
    <t>Risk Level</t>
  </si>
  <si>
    <t>A-01</t>
  </si>
  <si>
    <t>Customer Database</t>
  </si>
  <si>
    <t>Data Exfiltration / SQL Injection</t>
  </si>
  <si>
    <t>A-02</t>
  </si>
  <si>
    <t>Mobile Banking App</t>
  </si>
  <si>
    <t>Account Takeover / Phishing &amp; API Exploitation</t>
  </si>
  <si>
    <t>A-03</t>
  </si>
  <si>
    <t>Payment Gateway</t>
  </si>
  <si>
    <t>Transaction Tampering &amp; Man-in-the-Middle</t>
  </si>
  <si>
    <t>A-04</t>
  </si>
  <si>
    <t>Payment Service Provider</t>
  </si>
  <si>
    <t>Service Disruption &amp; Vendor Data Breach</t>
  </si>
  <si>
    <t>A-05</t>
  </si>
  <si>
    <t>Financial Records</t>
  </si>
  <si>
    <t>Insider Fraud &amp; Unauthorized Modification</t>
  </si>
  <si>
    <t>A-06</t>
  </si>
  <si>
    <t>Cloud Hosting Environment</t>
  </si>
  <si>
    <t>Cloud Misconfiguration &amp; Resource Hijacking</t>
  </si>
  <si>
    <t>A-07</t>
  </si>
  <si>
    <t>Customer Identity Data</t>
  </si>
  <si>
    <t>Bulk Identity Theft / Data Leakage</t>
  </si>
  <si>
    <t>A-08</t>
  </si>
  <si>
    <t>Card Data</t>
  </si>
  <si>
    <t>Credit Card Fraud &amp; Skimming via API</t>
  </si>
  <si>
    <t>A-09</t>
  </si>
  <si>
    <t>Transaction History</t>
  </si>
  <si>
    <t>Log Modification / Fraud Cover-up</t>
  </si>
  <si>
    <t>A-10</t>
  </si>
  <si>
    <t>Know Your Customer System</t>
  </si>
  <si>
    <t>Identity Spoofing &amp; Synthetic Creation</t>
  </si>
  <si>
    <t>A-11</t>
  </si>
  <si>
    <t>Core Banking System</t>
  </si>
  <si>
    <t>DDoS &amp; Ransomware Attack</t>
  </si>
  <si>
    <t>A-12</t>
  </si>
  <si>
    <t>Corporate Network and Firewalls</t>
  </si>
  <si>
    <t>Traffic Interception &amp; Perimeter Breach</t>
  </si>
  <si>
    <t>A-13</t>
  </si>
  <si>
    <t>Backup and Recovery System</t>
  </si>
  <si>
    <t>Backup Deletion / Ransomware Encryption</t>
  </si>
  <si>
    <t>A-14</t>
  </si>
  <si>
    <t>Cybersecurity Team</t>
  </si>
  <si>
    <t>Social Engineering / Spear Phishing</t>
  </si>
  <si>
    <t>A-15</t>
  </si>
  <si>
    <t>Physical Data Center</t>
  </si>
  <si>
    <t>Physical Intrusion &amp; Environmental Failure</t>
  </si>
  <si>
    <t>A-16</t>
  </si>
  <si>
    <t>SWIFT / Local Payment Gateway (SARIE)</t>
  </si>
  <si>
    <t>Unauthorized Interbank Fund Transfer</t>
  </si>
  <si>
    <t>A-17</t>
  </si>
  <si>
    <t>Security Audit &amp; SIEM Logs</t>
  </si>
  <si>
    <t>Log Deletion &amp; Evidence Tampering</t>
  </si>
  <si>
    <t>A-18</t>
  </si>
  <si>
    <t>Corporate Email &amp; Communication</t>
  </si>
  <si>
    <t>Business Email Compromise (BEC)</t>
  </si>
  <si>
    <t>A-19</t>
  </si>
  <si>
    <t>Domain Name System (DNS) &amp; SSL/TLS</t>
  </si>
  <si>
    <t>DNS Spoofing / Expired Certs</t>
  </si>
  <si>
    <t>A-20</t>
  </si>
  <si>
    <t>Cloud Service Provider (CSP)</t>
  </si>
  <si>
    <t>Provider Outage &amp; Supply Chain Attack</t>
  </si>
  <si>
    <t>Risk Scale and Methodology</t>
  </si>
  <si>
    <t>Risk Score = Likelihood x Impact. Both are rated from 1 to 5. Risk levels use the bands in section 3 (the Risk Register reads them from this sheet).</t>
  </si>
  <si>
    <t>1. Likelihood</t>
  </si>
  <si>
    <t>Score</t>
  </si>
  <si>
    <t>Level</t>
  </si>
  <si>
    <t>Meaning</t>
  </si>
  <si>
    <t>Rare</t>
  </si>
  <si>
    <t>Unlikely to happen in 5+ years</t>
  </si>
  <si>
    <t>Unlikely</t>
  </si>
  <si>
    <t>May happen once in 3 to 5 years</t>
  </si>
  <si>
    <t>Possible</t>
  </si>
  <si>
    <t>May happen once in 1 to 3 years</t>
  </si>
  <si>
    <t>Likely</t>
  </si>
  <si>
    <t>May happen about once a year</t>
  </si>
  <si>
    <t>Almost certain</t>
  </si>
  <si>
    <t>Expected several times a year</t>
  </si>
  <si>
    <t>2. Impact</t>
  </si>
  <si>
    <t>Negligible</t>
  </si>
  <si>
    <t>No financial loss and no service impact</t>
  </si>
  <si>
    <t>Minor</t>
  </si>
  <si>
    <t>Limited disruption, small loss, no regulator attention</t>
  </si>
  <si>
    <t>Moderate</t>
  </si>
  <si>
    <t>Noticeable service disruption or loss</t>
  </si>
  <si>
    <t>Major</t>
  </si>
  <si>
    <t>Significant loss, long disruption, regulatory scrutiny</t>
  </si>
  <si>
    <t>Severe</t>
  </si>
  <si>
    <t>Large-scale loss of funds or data, all services down, regulatory penalties</t>
  </si>
  <si>
    <t>3. Risk Levels</t>
  </si>
  <si>
    <t>Minimum score</t>
  </si>
  <si>
    <t>Maximum score</t>
  </si>
  <si>
    <t>Low</t>
  </si>
  <si>
    <t>Medium</t>
  </si>
  <si>
    <t>High</t>
  </si>
  <si>
    <t>Critical</t>
  </si>
  <si>
    <t>Note: the likelihood and impact definitions above are the assumptions of this project for the fictional bank Banki.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</si>
</sst>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EB9C"/>
      </patternFill>
    </fill>
    <fill>
      <patternFill patternType="solid">
        <fgColor rgb="FFFF9999"/>
        <bgColor rgb="FFFF808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8" customWidth="1"/>
    <col min="3" max="3" width="48" customWidth="1"/>
    <col min="4" max="4" width="16" customWidth="1"/>
    <col min="5" max="5" width="14" customWidth="1"/>
    <col min="6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3" t="s">
        <v>9</v>
      </c>
      <c r="D2" s="2">
        <v>4</v>
      </c>
      <c r="E2" s="2">
        <v>5</v>
      </c>
      <c r="F2" s="2">
        <f t="shared" ref="F2:F21" si="0">D2*E2</f>
        <v>20</v>
      </c>
      <c r="G2" s="2" t="str">
        <f>IF(F2&gt;='Risk Scale'!$B$25,"Critical",IF(F2&gt;='Risk Scale'!$B$24,"High",IF(F2&gt;='Risk Scale'!$B$23,"Medium","Low")))</f>
        <v>Critical</v>
      </c>
    </row>
    <row r="3" spans="1:7" x14ac:dyDescent="0.35">
      <c r="A3" s="2" t="s">
        <v>10</v>
      </c>
      <c r="B3" s="3" t="s">
        <v>11</v>
      </c>
      <c r="C3" s="3" t="s">
        <v>12</v>
      </c>
      <c r="D3" s="2">
        <v>5</v>
      </c>
      <c r="E3" s="2">
        <v>5</v>
      </c>
      <c r="F3" s="2">
        <f t="shared" si="0"/>
        <v>25</v>
      </c>
      <c r="G3" s="2" t="str">
        <f>IF(F3&gt;='Risk Scale'!$B$25,"Critical",IF(F3&gt;='Risk Scale'!$B$24,"High",IF(F3&gt;='Risk Scale'!$B$23,"Medium","Low")))</f>
        <v>Critical</v>
      </c>
    </row>
    <row r="4" spans="1:7" x14ac:dyDescent="0.35">
      <c r="A4" s="2" t="s">
        <v>13</v>
      </c>
      <c r="B4" s="3" t="s">
        <v>14</v>
      </c>
      <c r="C4" s="3" t="s">
        <v>15</v>
      </c>
      <c r="D4" s="2">
        <v>3</v>
      </c>
      <c r="E4" s="2">
        <v>5</v>
      </c>
      <c r="F4" s="2">
        <f t="shared" si="0"/>
        <v>15</v>
      </c>
      <c r="G4" s="2" t="str">
        <f>IF(F4&gt;='Risk Scale'!$B$25,"Critical",IF(F4&gt;='Risk Scale'!$B$24,"High",IF(F4&gt;='Risk Scale'!$B$23,"Medium","Low")))</f>
        <v>High</v>
      </c>
    </row>
    <row r="5" spans="1:7" x14ac:dyDescent="0.35">
      <c r="A5" s="2" t="s">
        <v>16</v>
      </c>
      <c r="B5" s="3" t="s">
        <v>17</v>
      </c>
      <c r="C5" s="3" t="s">
        <v>18</v>
      </c>
      <c r="D5" s="2">
        <v>3</v>
      </c>
      <c r="E5" s="2">
        <v>4</v>
      </c>
      <c r="F5" s="2">
        <f t="shared" si="0"/>
        <v>12</v>
      </c>
      <c r="G5" s="2" t="str">
        <f>IF(F5&gt;='Risk Scale'!$B$25,"Critical",IF(F5&gt;='Risk Scale'!$B$24,"High",IF(F5&gt;='Risk Scale'!$B$23,"Medium","Low")))</f>
        <v>Medium</v>
      </c>
    </row>
    <row r="6" spans="1:7" x14ac:dyDescent="0.35">
      <c r="A6" s="2" t="s">
        <v>19</v>
      </c>
      <c r="B6" s="3" t="s">
        <v>20</v>
      </c>
      <c r="C6" s="3" t="s">
        <v>21</v>
      </c>
      <c r="D6" s="2">
        <v>2</v>
      </c>
      <c r="E6" s="2">
        <v>4</v>
      </c>
      <c r="F6" s="2">
        <f t="shared" si="0"/>
        <v>8</v>
      </c>
      <c r="G6" s="2" t="str">
        <f>IF(F6&gt;='Risk Scale'!$B$25,"Critical",IF(F6&gt;='Risk Scale'!$B$24,"High",IF(F6&gt;='Risk Scale'!$B$23,"Medium","Low")))</f>
        <v>Medium</v>
      </c>
    </row>
    <row r="7" spans="1:7" x14ac:dyDescent="0.35">
      <c r="A7" s="2" t="s">
        <v>22</v>
      </c>
      <c r="B7" s="3" t="s">
        <v>23</v>
      </c>
      <c r="C7" s="3" t="s">
        <v>24</v>
      </c>
      <c r="D7" s="2">
        <v>4</v>
      </c>
      <c r="E7" s="2">
        <v>5</v>
      </c>
      <c r="F7" s="2">
        <f t="shared" si="0"/>
        <v>20</v>
      </c>
      <c r="G7" s="2" t="str">
        <f>IF(F7&gt;='Risk Scale'!$B$25,"Critical",IF(F7&gt;='Risk Scale'!$B$24,"High",IF(F7&gt;='Risk Scale'!$B$23,"Medium","Low")))</f>
        <v>Critical</v>
      </c>
    </row>
    <row r="8" spans="1:7" x14ac:dyDescent="0.35">
      <c r="A8" s="2" t="s">
        <v>25</v>
      </c>
      <c r="B8" s="3" t="s">
        <v>26</v>
      </c>
      <c r="C8" s="3" t="s">
        <v>27</v>
      </c>
      <c r="D8" s="2">
        <v>3</v>
      </c>
      <c r="E8" s="2">
        <v>5</v>
      </c>
      <c r="F8" s="2">
        <f t="shared" si="0"/>
        <v>15</v>
      </c>
      <c r="G8" s="2" t="str">
        <f>IF(F8&gt;='Risk Scale'!$B$25,"Critical",IF(F8&gt;='Risk Scale'!$B$24,"High",IF(F8&gt;='Risk Scale'!$B$23,"Medium","Low")))</f>
        <v>High</v>
      </c>
    </row>
    <row r="9" spans="1:7" x14ac:dyDescent="0.35">
      <c r="A9" s="2" t="s">
        <v>28</v>
      </c>
      <c r="B9" s="3" t="s">
        <v>29</v>
      </c>
      <c r="C9" s="3" t="s">
        <v>30</v>
      </c>
      <c r="D9" s="2">
        <v>4</v>
      </c>
      <c r="E9" s="2">
        <v>5</v>
      </c>
      <c r="F9" s="2">
        <f t="shared" si="0"/>
        <v>20</v>
      </c>
      <c r="G9" s="2" t="str">
        <f>IF(F9&gt;='Risk Scale'!$B$25,"Critical",IF(F9&gt;='Risk Scale'!$B$24,"High",IF(F9&gt;='Risk Scale'!$B$23,"Medium","Low")))</f>
        <v>Critical</v>
      </c>
    </row>
    <row r="10" spans="1:7" x14ac:dyDescent="0.35">
      <c r="A10" s="2" t="s">
        <v>31</v>
      </c>
      <c r="B10" s="3" t="s">
        <v>32</v>
      </c>
      <c r="C10" s="3" t="s">
        <v>33</v>
      </c>
      <c r="D10" s="2">
        <v>2</v>
      </c>
      <c r="E10" s="2">
        <v>4</v>
      </c>
      <c r="F10" s="2">
        <f t="shared" si="0"/>
        <v>8</v>
      </c>
      <c r="G10" s="2" t="str">
        <f>IF(F10&gt;='Risk Scale'!$B$25,"Critical",IF(F10&gt;='Risk Scale'!$B$24,"High",IF(F10&gt;='Risk Scale'!$B$23,"Medium","Low")))</f>
        <v>Medium</v>
      </c>
    </row>
    <row r="11" spans="1:7" x14ac:dyDescent="0.35">
      <c r="A11" s="2" t="s">
        <v>34</v>
      </c>
      <c r="B11" s="3" t="s">
        <v>35</v>
      </c>
      <c r="C11" s="3" t="s">
        <v>36</v>
      </c>
      <c r="D11" s="2">
        <v>3</v>
      </c>
      <c r="E11" s="2">
        <v>4</v>
      </c>
      <c r="F11" s="2">
        <f t="shared" si="0"/>
        <v>12</v>
      </c>
      <c r="G11" s="2" t="str">
        <f>IF(F11&gt;='Risk Scale'!$B$25,"Critical",IF(F11&gt;='Risk Scale'!$B$24,"High",IF(F11&gt;='Risk Scale'!$B$23,"Medium","Low")))</f>
        <v>Medium</v>
      </c>
    </row>
    <row r="12" spans="1:7" x14ac:dyDescent="0.35">
      <c r="A12" s="2" t="s">
        <v>37</v>
      </c>
      <c r="B12" s="3" t="s">
        <v>38</v>
      </c>
      <c r="C12" s="3" t="s">
        <v>39</v>
      </c>
      <c r="D12" s="2">
        <v>3</v>
      </c>
      <c r="E12" s="2">
        <v>5</v>
      </c>
      <c r="F12" s="2">
        <f t="shared" si="0"/>
        <v>15</v>
      </c>
      <c r="G12" s="2" t="str">
        <f>IF(F12&gt;='Risk Scale'!$B$25,"Critical",IF(F12&gt;='Risk Scale'!$B$24,"High",IF(F12&gt;='Risk Scale'!$B$23,"Medium","Low")))</f>
        <v>High</v>
      </c>
    </row>
    <row r="13" spans="1:7" x14ac:dyDescent="0.35">
      <c r="A13" s="2" t="s">
        <v>40</v>
      </c>
      <c r="B13" s="3" t="s">
        <v>41</v>
      </c>
      <c r="C13" s="3" t="s">
        <v>42</v>
      </c>
      <c r="D13" s="2">
        <v>3</v>
      </c>
      <c r="E13" s="2">
        <v>4</v>
      </c>
      <c r="F13" s="2">
        <f t="shared" si="0"/>
        <v>12</v>
      </c>
      <c r="G13" s="2" t="str">
        <f>IF(F13&gt;='Risk Scale'!$B$25,"Critical",IF(F13&gt;='Risk Scale'!$B$24,"High",IF(F13&gt;='Risk Scale'!$B$23,"Medium","Low")))</f>
        <v>Medium</v>
      </c>
    </row>
    <row r="14" spans="1:7" x14ac:dyDescent="0.35">
      <c r="A14" s="2" t="s">
        <v>43</v>
      </c>
      <c r="B14" s="3" t="s">
        <v>44</v>
      </c>
      <c r="C14" s="3" t="s">
        <v>45</v>
      </c>
      <c r="D14" s="2">
        <v>3</v>
      </c>
      <c r="E14" s="2">
        <v>5</v>
      </c>
      <c r="F14" s="2">
        <f t="shared" si="0"/>
        <v>15</v>
      </c>
      <c r="G14" s="2" t="str">
        <f>IF(F14&gt;='Risk Scale'!$B$25,"Critical",IF(F14&gt;='Risk Scale'!$B$24,"High",IF(F14&gt;='Risk Scale'!$B$23,"Medium","Low")))</f>
        <v>High</v>
      </c>
    </row>
    <row r="15" spans="1:7" x14ac:dyDescent="0.35">
      <c r="A15" s="2" t="s">
        <v>46</v>
      </c>
      <c r="B15" s="3" t="s">
        <v>47</v>
      </c>
      <c r="C15" s="3" t="s">
        <v>48</v>
      </c>
      <c r="D15" s="2">
        <v>4</v>
      </c>
      <c r="E15" s="2">
        <v>4</v>
      </c>
      <c r="F15" s="2">
        <f t="shared" si="0"/>
        <v>16</v>
      </c>
      <c r="G15" s="2" t="str">
        <f>IF(F15&gt;='Risk Scale'!$B$25,"Critical",IF(F15&gt;='Risk Scale'!$B$24,"High",IF(F15&gt;='Risk Scale'!$B$23,"Medium","Low")))</f>
        <v>High</v>
      </c>
    </row>
    <row r="16" spans="1:7" x14ac:dyDescent="0.35">
      <c r="A16" s="2" t="s">
        <v>49</v>
      </c>
      <c r="B16" s="3" t="s">
        <v>50</v>
      </c>
      <c r="C16" s="3" t="s">
        <v>51</v>
      </c>
      <c r="D16" s="2">
        <v>2</v>
      </c>
      <c r="E16" s="2">
        <v>5</v>
      </c>
      <c r="F16" s="2">
        <f t="shared" si="0"/>
        <v>10</v>
      </c>
      <c r="G16" s="2" t="str">
        <f>IF(F16&gt;='Risk Scale'!$B$25,"Critical",IF(F16&gt;='Risk Scale'!$B$24,"High",IF(F16&gt;='Risk Scale'!$B$23,"Medium","Low")))</f>
        <v>Medium</v>
      </c>
    </row>
    <row r="17" spans="1:7" x14ac:dyDescent="0.35">
      <c r="A17" s="2" t="s">
        <v>52</v>
      </c>
      <c r="B17" s="3" t="s">
        <v>53</v>
      </c>
      <c r="C17" s="3" t="s">
        <v>54</v>
      </c>
      <c r="D17" s="2">
        <v>2</v>
      </c>
      <c r="E17" s="2">
        <v>5</v>
      </c>
      <c r="F17" s="2">
        <f t="shared" si="0"/>
        <v>10</v>
      </c>
      <c r="G17" s="2" t="str">
        <f>IF(F17&gt;='Risk Scale'!$B$25,"Critical",IF(F17&gt;='Risk Scale'!$B$24,"High",IF(F17&gt;='Risk Scale'!$B$23,"Medium","Low")))</f>
        <v>Medium</v>
      </c>
    </row>
    <row r="18" spans="1:7" x14ac:dyDescent="0.35">
      <c r="A18" s="2" t="s">
        <v>55</v>
      </c>
      <c r="B18" s="3" t="s">
        <v>56</v>
      </c>
      <c r="C18" s="3" t="s">
        <v>57</v>
      </c>
      <c r="D18" s="2">
        <v>3</v>
      </c>
      <c r="E18" s="2">
        <v>4</v>
      </c>
      <c r="F18" s="2">
        <f t="shared" si="0"/>
        <v>12</v>
      </c>
      <c r="G18" s="2" t="str">
        <f>IF(F18&gt;='Risk Scale'!$B$25,"Critical",IF(F18&gt;='Risk Scale'!$B$24,"High",IF(F18&gt;='Risk Scale'!$B$23,"Medium","Low")))</f>
        <v>Medium</v>
      </c>
    </row>
    <row r="19" spans="1:7" x14ac:dyDescent="0.35">
      <c r="A19" s="2" t="s">
        <v>58</v>
      </c>
      <c r="B19" s="3" t="s">
        <v>59</v>
      </c>
      <c r="C19" s="3" t="s">
        <v>60</v>
      </c>
      <c r="D19" s="2">
        <v>4</v>
      </c>
      <c r="E19" s="2">
        <v>3</v>
      </c>
      <c r="F19" s="2">
        <f t="shared" si="0"/>
        <v>12</v>
      </c>
      <c r="G19" s="2" t="str">
        <f>IF(F19&gt;='Risk Scale'!$B$25,"Critical",IF(F19&gt;='Risk Scale'!$B$24,"High",IF(F19&gt;='Risk Scale'!$B$23,"Medium","Low")))</f>
        <v>Medium</v>
      </c>
    </row>
    <row r="20" spans="1:7" x14ac:dyDescent="0.35">
      <c r="A20" s="2" t="s">
        <v>61</v>
      </c>
      <c r="B20" s="3" t="s">
        <v>62</v>
      </c>
      <c r="C20" s="3" t="s">
        <v>63</v>
      </c>
      <c r="D20" s="2">
        <v>3</v>
      </c>
      <c r="E20" s="2">
        <v>4</v>
      </c>
      <c r="F20" s="2">
        <f t="shared" si="0"/>
        <v>12</v>
      </c>
      <c r="G20" s="2" t="str">
        <f>IF(F20&gt;='Risk Scale'!$B$25,"Critical",IF(F20&gt;='Risk Scale'!$B$24,"High",IF(F20&gt;='Risk Scale'!$B$23,"Medium","Low")))</f>
        <v>Medium</v>
      </c>
    </row>
    <row r="21" spans="1:7" x14ac:dyDescent="0.35">
      <c r="A21" s="2" t="s">
        <v>64</v>
      </c>
      <c r="B21" s="3" t="s">
        <v>65</v>
      </c>
      <c r="C21" s="3" t="s">
        <v>66</v>
      </c>
      <c r="D21" s="2">
        <v>2</v>
      </c>
      <c r="E21" s="2">
        <v>4</v>
      </c>
      <c r="F21" s="2">
        <f t="shared" si="0"/>
        <v>8</v>
      </c>
      <c r="G21" s="2" t="str">
        <f>IF(F21&gt;='Risk Scale'!$B$25,"Critical",IF(F21&gt;='Risk Scale'!$B$24,"High",IF(F21&gt;='Risk Scale'!$B$23,"Medium","Low")))</f>
        <v>Medium</v>
      </c>
    </row>
  </sheetData>
  <conditionalFormatting sqref="G2:G21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/>
  </sheetViews>
  <sheetFormatPr defaultColWidth="8.6328125" defaultRowHeight="14.5" x14ac:dyDescent="0.35"/>
  <cols>
    <col min="1" max="2" width="18" customWidth="1"/>
    <col min="3" max="3" width="80" customWidth="1"/>
  </cols>
  <sheetData>
    <row r="1" spans="1:3" ht="18" x14ac:dyDescent="0.4">
      <c r="A1" s="4" t="s">
        <v>67</v>
      </c>
    </row>
    <row r="2" spans="1:3" x14ac:dyDescent="0.35">
      <c r="A2" s="5" t="s">
        <v>68</v>
      </c>
    </row>
    <row r="4" spans="1:3" x14ac:dyDescent="0.35">
      <c r="A4" s="6" t="s">
        <v>69</v>
      </c>
    </row>
    <row r="5" spans="1:3" x14ac:dyDescent="0.35">
      <c r="A5" s="1" t="s">
        <v>70</v>
      </c>
      <c r="B5" s="1" t="s">
        <v>71</v>
      </c>
      <c r="C5" s="1" t="s">
        <v>72</v>
      </c>
    </row>
    <row r="6" spans="1:3" x14ac:dyDescent="0.35">
      <c r="A6" s="2">
        <v>1</v>
      </c>
      <c r="B6" s="3" t="s">
        <v>73</v>
      </c>
      <c r="C6" s="3" t="s">
        <v>74</v>
      </c>
    </row>
    <row r="7" spans="1:3" x14ac:dyDescent="0.35">
      <c r="A7" s="2">
        <v>2</v>
      </c>
      <c r="B7" s="3" t="s">
        <v>75</v>
      </c>
      <c r="C7" s="3" t="s">
        <v>76</v>
      </c>
    </row>
    <row r="8" spans="1:3" x14ac:dyDescent="0.35">
      <c r="A8" s="2">
        <v>3</v>
      </c>
      <c r="B8" s="3" t="s">
        <v>77</v>
      </c>
      <c r="C8" s="3" t="s">
        <v>78</v>
      </c>
    </row>
    <row r="9" spans="1:3" x14ac:dyDescent="0.35">
      <c r="A9" s="2">
        <v>4</v>
      </c>
      <c r="B9" s="3" t="s">
        <v>79</v>
      </c>
      <c r="C9" s="3" t="s">
        <v>80</v>
      </c>
    </row>
    <row r="10" spans="1:3" x14ac:dyDescent="0.35">
      <c r="A10" s="2">
        <v>5</v>
      </c>
      <c r="B10" s="3" t="s">
        <v>81</v>
      </c>
      <c r="C10" s="3" t="s">
        <v>82</v>
      </c>
    </row>
    <row r="12" spans="1:3" x14ac:dyDescent="0.35">
      <c r="A12" s="6" t="s">
        <v>83</v>
      </c>
    </row>
    <row r="13" spans="1:3" x14ac:dyDescent="0.35">
      <c r="A13" s="1" t="s">
        <v>70</v>
      </c>
      <c r="B13" s="1" t="s">
        <v>71</v>
      </c>
      <c r="C13" s="1" t="s">
        <v>72</v>
      </c>
    </row>
    <row r="14" spans="1:3" x14ac:dyDescent="0.35">
      <c r="A14" s="2">
        <v>1</v>
      </c>
      <c r="B14" s="3" t="s">
        <v>84</v>
      </c>
      <c r="C14" s="3" t="s">
        <v>85</v>
      </c>
    </row>
    <row r="15" spans="1:3" x14ac:dyDescent="0.35">
      <c r="A15" s="2">
        <v>2</v>
      </c>
      <c r="B15" s="3" t="s">
        <v>86</v>
      </c>
      <c r="C15" s="3" t="s">
        <v>87</v>
      </c>
    </row>
    <row r="16" spans="1:3" x14ac:dyDescent="0.35">
      <c r="A16" s="2">
        <v>3</v>
      </c>
      <c r="B16" s="3" t="s">
        <v>88</v>
      </c>
      <c r="C16" s="3" t="s">
        <v>89</v>
      </c>
    </row>
    <row r="17" spans="1:3" x14ac:dyDescent="0.35">
      <c r="A17" s="2">
        <v>4</v>
      </c>
      <c r="B17" s="3" t="s">
        <v>90</v>
      </c>
      <c r="C17" s="3" t="s">
        <v>91</v>
      </c>
    </row>
    <row r="18" spans="1:3" x14ac:dyDescent="0.35">
      <c r="A18" s="2">
        <v>5</v>
      </c>
      <c r="B18" s="3" t="s">
        <v>92</v>
      </c>
      <c r="C18" s="3" t="s">
        <v>93</v>
      </c>
    </row>
    <row r="20" spans="1:3" x14ac:dyDescent="0.35">
      <c r="A20" s="6" t="s">
        <v>94</v>
      </c>
    </row>
    <row r="21" spans="1:3" x14ac:dyDescent="0.35">
      <c r="A21" s="1" t="s">
        <v>71</v>
      </c>
      <c r="B21" s="1" t="s">
        <v>95</v>
      </c>
      <c r="C21" s="1" t="s">
        <v>96</v>
      </c>
    </row>
    <row r="22" spans="1:3" x14ac:dyDescent="0.35">
      <c r="A22" s="7" t="s">
        <v>97</v>
      </c>
      <c r="B22" s="2">
        <v>1</v>
      </c>
      <c r="C22" s="2">
        <v>7</v>
      </c>
    </row>
    <row r="23" spans="1:3" x14ac:dyDescent="0.35">
      <c r="A23" s="8" t="s">
        <v>98</v>
      </c>
      <c r="B23" s="2">
        <v>8</v>
      </c>
      <c r="C23" s="2">
        <v>14</v>
      </c>
    </row>
    <row r="24" spans="1:3" x14ac:dyDescent="0.35">
      <c r="A24" s="9" t="s">
        <v>99</v>
      </c>
      <c r="B24" s="2">
        <v>15</v>
      </c>
      <c r="C24" s="2">
        <v>19</v>
      </c>
    </row>
    <row r="25" spans="1:3" x14ac:dyDescent="0.35">
      <c r="A25" s="10" t="s">
        <v>100</v>
      </c>
      <c r="B25" s="2">
        <v>20</v>
      </c>
      <c r="C25" s="2">
        <v>25</v>
      </c>
    </row>
    <row r="27" spans="1:3" x14ac:dyDescent="0.35">
      <c r="A27" s="11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عبدالله ال ناجي القحطاني</cp:lastModifiedBy>
  <cp:revision>0</cp:revision>
  <dcterms:created xsi:type="dcterms:W3CDTF">2026-10-23T00:49:12Z</dcterms:created>
  <dcterms:modified xsi:type="dcterms:W3CDTF">2026-10-23T00:58:41Z</dcterms:modified>
  <dc:language>en-US</dc:language>
</cp:coreProperties>
</file>